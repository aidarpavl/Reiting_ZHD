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Кайдарова Л.С
</t>
      </text>
    </comment>
    <comment authorId="0" ref="G1">
      <text>
        <t xml:space="preserve">Кайдарова Л.С</t>
      </text>
    </comment>
    <comment authorId="0" ref="H1">
      <text>
        <t xml:space="preserve">Кайдарова Л.С</t>
      </text>
    </comment>
    <comment authorId="0" ref="J1">
      <text>
        <t xml:space="preserve">Шаймерденова А.Т</t>
      </text>
    </comment>
    <comment authorId="0" ref="K1">
      <text>
        <t xml:space="preserve">Шаймерденова А.Т</t>
      </text>
    </comment>
    <comment authorId="0" ref="L1">
      <text>
        <t xml:space="preserve">Шаймерденова А.Т</t>
      </text>
    </comment>
    <comment authorId="0" ref="M1">
      <text>
        <t xml:space="preserve">Шаймерденова А.Т</t>
      </text>
    </comment>
    <comment authorId="0" ref="N1">
      <text>
        <t xml:space="preserve">Шаймерденова А.Т</t>
      </text>
    </comment>
  </commentList>
</comments>
</file>

<file path=xl/sharedStrings.xml><?xml version="1.0" encoding="utf-8"?>
<sst xmlns="http://schemas.openxmlformats.org/spreadsheetml/2006/main" count="92" uniqueCount="71">
  <si>
    <t>№</t>
  </si>
  <si>
    <t>ФИО</t>
  </si>
  <si>
    <t>Предмет</t>
  </si>
  <si>
    <t>Сложность предмета</t>
  </si>
  <si>
    <t>Күнделік.. Ведение. (-5 до +5)</t>
  </si>
  <si>
    <t>Оценка за призовые места учащихся на школьных олимпиадах, конкурсах и т.п.(1-2балл,2-1б, 3место-0,5б)</t>
  </si>
  <si>
    <t>Оценка за призовые места учащихся  за участие на   1. областных  Места: (1место-4б, 2место-3б, 3место-2балл, участие-1 балл)  Республиканских Места: (1место-5б, 2место-4б, 3место-3балл, участие-2 балл) 3. Международных Места: (1место-6б, 2место-5б, 3место-4балл, участие-2 балл)</t>
  </si>
  <si>
    <t>Онлайн олимпиады (за участие-1б, 1-место 4б, 2 место-3б, 3 место-2б</t>
  </si>
  <si>
    <t>Итог Внекласная работа</t>
  </si>
  <si>
    <t>Участие в конкурсах и олимпиад: Обл(1-3б), Респ(2-4б), Межд(4-6б)</t>
  </si>
  <si>
    <t>За разработку методических материалов с рецензией приказ ИЦРОВ(обл-3б, Респ-5 б)</t>
  </si>
  <si>
    <t>Выступлений на педсоветах, семинарах и т.п. (Шк-1б, Обл-2б, Респ-3б)</t>
  </si>
  <si>
    <t xml:space="preserve">Обобщение опыта по инициативе учителя (Школа-1б,Обл-2б, Респ-3 балла) </t>
  </si>
  <si>
    <t>За опубликованные методические материалы (до 3 баллов)</t>
  </si>
  <si>
    <t>Итог методической деятельности</t>
  </si>
  <si>
    <t>Работа с одаренными детьми</t>
  </si>
  <si>
    <t>Методическая деятельность</t>
  </si>
  <si>
    <t>Bilim class. Ведение. (-5 до +5)</t>
  </si>
  <si>
    <t>Общий итог</t>
  </si>
  <si>
    <t>Жанғазы Гүлнар Садыққызы</t>
  </si>
  <si>
    <t>Русский язык</t>
  </si>
  <si>
    <t>Альменова Жулдыз Кантаевна</t>
  </si>
  <si>
    <t>Асаинова Жулдуз Сериковна</t>
  </si>
  <si>
    <t>Кайдарова Лаура Сартаевна</t>
  </si>
  <si>
    <t>География</t>
  </si>
  <si>
    <t>Шаймерденова Алия Турсуновна</t>
  </si>
  <si>
    <t>Каз яз</t>
  </si>
  <si>
    <t>Шайхимов Айдар Абылаевич</t>
  </si>
  <si>
    <t>Информатика</t>
  </si>
  <si>
    <t>Айтбай Самал Темірғалықызы</t>
  </si>
  <si>
    <t>Математика</t>
  </si>
  <si>
    <t>Адамов Ильяс Булатович</t>
  </si>
  <si>
    <t>Азымбаева Қымбат Жексенғазықызы</t>
  </si>
  <si>
    <t>Химия</t>
  </si>
  <si>
    <t>Альназирова Диана Каиркелдиевна</t>
  </si>
  <si>
    <t>Ин яз</t>
  </si>
  <si>
    <t>Арынгазина Асель Муратовна</t>
  </si>
  <si>
    <t>Аханбаева Сандугуль Ермуратовна</t>
  </si>
  <si>
    <t>Ахшалова Данира Каскирбековна</t>
  </si>
  <si>
    <t>Баянова Самал Еркиновна</t>
  </si>
  <si>
    <t>Базарбай Төлеш Төлегенқызы</t>
  </si>
  <si>
    <t>Даулбаева Камила Муратовна</t>
  </si>
  <si>
    <t>Ескендирова Майса Тусуповна</t>
  </si>
  <si>
    <t>Физкультура</t>
  </si>
  <si>
    <t>Жұмали Мизан</t>
  </si>
  <si>
    <t>Музыка</t>
  </si>
  <si>
    <t>Ильясова Гульмира Раушановна</t>
  </si>
  <si>
    <t>Исабаева Зарина Нурлановна</t>
  </si>
  <si>
    <t>История</t>
  </si>
  <si>
    <t>Итемгенов Бахытбек Упышович</t>
  </si>
  <si>
    <t>Кабылова Айслу Мажитовна</t>
  </si>
  <si>
    <t>Кожагельдинова Гульназы Нигиметовна</t>
  </si>
  <si>
    <t>Куставлетова Айгуль Баяновна</t>
  </si>
  <si>
    <t>Қалым Гульжазира Муратбековна</t>
  </si>
  <si>
    <t>Момынов Куат Мырзатаевич</t>
  </si>
  <si>
    <t>Нурдильдина Роза Рыскалиевна</t>
  </si>
  <si>
    <t>Физика</t>
  </si>
  <si>
    <t>Омарова Кымбат Ораловна</t>
  </si>
  <si>
    <t>Омарова АсельУалденовна</t>
  </si>
  <si>
    <t>Всемирная к.</t>
  </si>
  <si>
    <t>Серикхан Жанал</t>
  </si>
  <si>
    <t>Сыпатаев Ермурат Валерьевич</t>
  </si>
  <si>
    <t>Сырттанова Айнаш Тохтархановна</t>
  </si>
  <si>
    <t>Текенов Арыстан Анатольевич</t>
  </si>
  <si>
    <t>Темірғалы Қызғалдақ Медіғатқызы</t>
  </si>
  <si>
    <t>Психолог</t>
  </si>
  <si>
    <t>Тологони Канипа</t>
  </si>
  <si>
    <t>Труды</t>
  </si>
  <si>
    <t>Тұрғанбай Әсел Оразбекқызы</t>
  </si>
  <si>
    <t>Биология</t>
  </si>
  <si>
    <t>Шайхимова Айым Муратовна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</si>
</sst>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theme="1"/>
      <name val="Calibri"/>
    </font>
    <font>
      <b/>
      <sz val="12.0"/>
      <color theme="1"/>
      <name val="Calibri"/>
    </font>
    <font>
      <sz val="18.0"/>
      <color theme="1"/>
      <name val="Calibri"/>
    </font>
    <font>
      <sz val="18.0"/>
      <color theme="1"/>
      <name val="Times New Roman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shrinkToFit="0" vertical="bottom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2" fontId="3" numFmtId="0" xfId="0" applyAlignment="1" applyBorder="1" applyFill="1" applyFont="1">
      <alignment horizontal="right" vertical="bottom"/>
    </xf>
    <xf borderId="1" fillId="3" fontId="3" numFmtId="0" xfId="0" applyAlignment="1" applyBorder="1" applyFill="1" applyFont="1">
      <alignment horizontal="right" vertical="bottom"/>
    </xf>
    <xf borderId="1" fillId="0" fontId="5" numFmtId="0" xfId="0" applyAlignment="1" applyBorder="1" applyFont="1">
      <alignment vertical="bottom"/>
    </xf>
    <xf borderId="1" fillId="4" fontId="3" numFmtId="0" xfId="0" applyAlignment="1" applyBorder="1" applyFill="1" applyFont="1">
      <alignment horizontal="right" vertical="bottom"/>
    </xf>
    <xf borderId="1" fillId="5" fontId="3" numFmtId="0" xfId="0" applyAlignment="1" applyBorder="1" applyFill="1" applyFont="1">
      <alignment horizontal="right" vertical="bottom"/>
    </xf>
    <xf borderId="1" fillId="6" fontId="1" numFmtId="0" xfId="0" applyAlignment="1" applyBorder="1" applyFill="1" applyFont="1">
      <alignment horizontal="right" vertical="bottom"/>
    </xf>
    <xf borderId="1" fillId="7" fontId="4" numFmtId="0" xfId="0" applyAlignment="1" applyBorder="1" applyFill="1" applyFont="1">
      <alignment vertical="bottom"/>
    </xf>
    <xf borderId="1" fillId="0" fontId="4" numFmtId="0" xfId="0" applyAlignment="1" applyBorder="1" applyFont="1">
      <alignment horizontal="center" vertical="bottom"/>
    </xf>
    <xf borderId="1" fillId="7" fontId="4" numFmtId="0" xfId="0" applyAlignment="1" applyBorder="1" applyFill="1" applyFont="1">
      <alignment vertical="top"/>
    </xf>
    <xf borderId="0" fillId="0" fontId="3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1" fillId="7" fontId="4" numFmtId="0" xfId="0" applyAlignment="1" applyBorder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5" t="s">
        <v>16</v>
      </c>
      <c r="R1" s="3" t="s">
        <v>17</v>
      </c>
      <c r="S1" s="6" t="s">
        <v>18</v>
      </c>
    </row>
    <row r="2">
      <c r="A2" s="7">
        <v>1.0</v>
      </c>
      <c r="B2" s="8" t="s">
        <v>19</v>
      </c>
      <c r="C2" s="9" t="s">
        <v>20</v>
      </c>
      <c r="D2" s="10">
        <v>0.9</v>
      </c>
      <c r="E2" s="11">
        <v>5.0</v>
      </c>
      <c r="F2" s="7">
        <v>1.0</v>
      </c>
      <c r="G2" s="12"/>
      <c r="H2" s="7">
        <v>2.0</v>
      </c>
      <c r="I2" s="13">
        <f t="shared" ref="I2:I38" si="1">SUM(F2+G2)</f>
        <v>1</v>
      </c>
      <c r="J2" s="7">
        <v>0.0</v>
      </c>
      <c r="K2" s="7">
        <v>5.0</v>
      </c>
      <c r="L2" s="7">
        <v>3.0</v>
      </c>
      <c r="M2" s="7">
        <v>3.0</v>
      </c>
      <c r="N2" s="7">
        <v>3.0</v>
      </c>
      <c r="O2" s="14">
        <f t="shared" ref="O2:O38" si="2">SUM(J2+K2+L2+M2+N2)</f>
        <v>14</v>
      </c>
      <c r="P2" s="13">
        <f t="shared" ref="P2:P38" si="3">SUM(I2)</f>
        <v>1</v>
      </c>
      <c r="Q2" s="14">
        <f t="shared" ref="Q2:Q38" si="4">SUM(O2)</f>
        <v>14</v>
      </c>
      <c r="R2" s="11">
        <f t="shared" ref="R2:R38" si="5">SUM(E2)</f>
        <v>5</v>
      </c>
      <c r="S2" s="15">
        <f t="shared" ref="S2:S38" si="6">SUM(I2+O2+E2)</f>
        <v>20</v>
      </c>
    </row>
    <row r="3">
      <c r="A3" s="7">
        <v>2.0</v>
      </c>
      <c r="B3" s="8" t="s">
        <v>21</v>
      </c>
      <c r="C3" s="9" t="s">
        <v>20</v>
      </c>
      <c r="D3" s="10">
        <v>0.9</v>
      </c>
      <c r="E3" s="11">
        <v>5.0</v>
      </c>
      <c r="F3" s="7">
        <v>5.0</v>
      </c>
      <c r="G3" s="12"/>
      <c r="H3" s="12"/>
      <c r="I3" s="13">
        <f t="shared" si="1"/>
        <v>5</v>
      </c>
      <c r="J3" s="7">
        <v>0.0</v>
      </c>
      <c r="K3" s="7">
        <v>0.0</v>
      </c>
      <c r="L3" s="7">
        <v>2.0</v>
      </c>
      <c r="M3" s="7">
        <v>2.0</v>
      </c>
      <c r="N3" s="7">
        <v>0.0</v>
      </c>
      <c r="O3" s="14">
        <f t="shared" si="2"/>
        <v>4</v>
      </c>
      <c r="P3" s="13">
        <f t="shared" si="3"/>
        <v>5</v>
      </c>
      <c r="Q3" s="14">
        <f t="shared" si="4"/>
        <v>4</v>
      </c>
      <c r="R3" s="11">
        <f t="shared" si="5"/>
        <v>5</v>
      </c>
      <c r="S3" s="15">
        <f t="shared" si="6"/>
        <v>14</v>
      </c>
    </row>
    <row r="4">
      <c r="A4" s="7">
        <v>3.0</v>
      </c>
      <c r="B4" s="8" t="s">
        <v>22</v>
      </c>
      <c r="C4" s="12"/>
      <c r="D4" s="10">
        <v>0.1</v>
      </c>
      <c r="E4" s="11">
        <v>2.0</v>
      </c>
      <c r="F4" s="12"/>
      <c r="G4" s="12"/>
      <c r="H4" s="12"/>
      <c r="I4" s="13">
        <f t="shared" si="1"/>
        <v>0</v>
      </c>
      <c r="J4" s="7">
        <v>0.0</v>
      </c>
      <c r="K4" s="7">
        <v>5.0</v>
      </c>
      <c r="L4" s="7">
        <v>2.0</v>
      </c>
      <c r="M4" s="7">
        <v>2.0</v>
      </c>
      <c r="N4" s="7">
        <v>3.0</v>
      </c>
      <c r="O4" s="14">
        <f t="shared" si="2"/>
        <v>12</v>
      </c>
      <c r="P4" s="13">
        <f t="shared" si="3"/>
        <v>0</v>
      </c>
      <c r="Q4" s="14">
        <f t="shared" si="4"/>
        <v>12</v>
      </c>
      <c r="R4" s="11">
        <f t="shared" si="5"/>
        <v>2</v>
      </c>
      <c r="S4" s="15">
        <f t="shared" si="6"/>
        <v>14</v>
      </c>
    </row>
    <row r="5">
      <c r="A5" s="7">
        <v>4.0</v>
      </c>
      <c r="B5" s="8" t="s">
        <v>23</v>
      </c>
      <c r="C5" s="9" t="s">
        <v>24</v>
      </c>
      <c r="D5" s="10">
        <v>0.3</v>
      </c>
      <c r="E5" s="11">
        <v>1.0</v>
      </c>
      <c r="F5" s="12"/>
      <c r="G5" s="12"/>
      <c r="H5" s="12"/>
      <c r="I5" s="13">
        <f t="shared" si="1"/>
        <v>0</v>
      </c>
      <c r="J5" s="7">
        <v>0.0</v>
      </c>
      <c r="K5" s="7">
        <v>3.0</v>
      </c>
      <c r="L5" s="7">
        <v>2.0</v>
      </c>
      <c r="M5" s="7">
        <v>2.0</v>
      </c>
      <c r="N5" s="7">
        <v>3.0</v>
      </c>
      <c r="O5" s="14">
        <f t="shared" si="2"/>
        <v>10</v>
      </c>
      <c r="P5" s="13">
        <f t="shared" si="3"/>
        <v>0</v>
      </c>
      <c r="Q5" s="14">
        <f t="shared" si="4"/>
        <v>10</v>
      </c>
      <c r="R5" s="11">
        <f t="shared" si="5"/>
        <v>1</v>
      </c>
      <c r="S5" s="15">
        <f t="shared" si="6"/>
        <v>11</v>
      </c>
    </row>
    <row r="6">
      <c r="A6" s="7">
        <v>5.0</v>
      </c>
      <c r="B6" s="16" t="s">
        <v>25</v>
      </c>
      <c r="C6" s="9" t="s">
        <v>26</v>
      </c>
      <c r="D6" s="10">
        <v>0.9</v>
      </c>
      <c r="E6" s="11">
        <v>5.0</v>
      </c>
      <c r="F6" s="12"/>
      <c r="G6" s="12"/>
      <c r="H6" s="12"/>
      <c r="I6" s="13">
        <f t="shared" si="1"/>
        <v>0</v>
      </c>
      <c r="J6" s="7">
        <v>0.0</v>
      </c>
      <c r="K6" s="7">
        <v>5.0</v>
      </c>
      <c r="L6" s="7">
        <v>3.0</v>
      </c>
      <c r="M6" s="7">
        <v>3.0</v>
      </c>
      <c r="N6" s="7">
        <v>3.0</v>
      </c>
      <c r="O6" s="14">
        <f t="shared" si="2"/>
        <v>14</v>
      </c>
      <c r="P6" s="13">
        <f t="shared" si="3"/>
        <v>0</v>
      </c>
      <c r="Q6" s="14">
        <f t="shared" si="4"/>
        <v>14</v>
      </c>
      <c r="R6" s="11">
        <f t="shared" si="5"/>
        <v>5</v>
      </c>
      <c r="S6" s="15">
        <f t="shared" si="6"/>
        <v>19</v>
      </c>
    </row>
    <row r="7">
      <c r="A7" s="7">
        <v>6.0</v>
      </c>
      <c r="B7" s="8" t="s">
        <v>27</v>
      </c>
      <c r="C7" s="9" t="s">
        <v>28</v>
      </c>
      <c r="D7" s="10">
        <v>0.7</v>
      </c>
      <c r="E7" s="11">
        <v>4.0</v>
      </c>
      <c r="F7" s="12"/>
      <c r="G7" s="12"/>
      <c r="H7" s="12"/>
      <c r="I7" s="13">
        <f t="shared" si="1"/>
        <v>0</v>
      </c>
      <c r="J7" s="7">
        <v>0.0</v>
      </c>
      <c r="K7" s="7">
        <v>0.0</v>
      </c>
      <c r="L7" s="7">
        <v>2.0</v>
      </c>
      <c r="M7" s="7">
        <v>2.0</v>
      </c>
      <c r="N7" s="7">
        <v>0.0</v>
      </c>
      <c r="O7" s="14">
        <f t="shared" si="2"/>
        <v>4</v>
      </c>
      <c r="P7" s="13">
        <f t="shared" si="3"/>
        <v>0</v>
      </c>
      <c r="Q7" s="14">
        <f t="shared" si="4"/>
        <v>4</v>
      </c>
      <c r="R7" s="11">
        <f t="shared" si="5"/>
        <v>4</v>
      </c>
      <c r="S7" s="15">
        <f t="shared" si="6"/>
        <v>8</v>
      </c>
    </row>
    <row r="8">
      <c r="A8" s="7">
        <v>7.0</v>
      </c>
      <c r="B8" s="16" t="s">
        <v>29</v>
      </c>
      <c r="C8" s="9" t="s">
        <v>30</v>
      </c>
      <c r="D8" s="10">
        <v>1.0</v>
      </c>
      <c r="E8" s="11">
        <v>5.0</v>
      </c>
      <c r="F8" s="12"/>
      <c r="G8" s="12"/>
      <c r="H8" s="12"/>
      <c r="I8" s="13">
        <f t="shared" si="1"/>
        <v>0</v>
      </c>
      <c r="J8" s="7">
        <v>0.0</v>
      </c>
      <c r="K8" s="7">
        <v>0.0</v>
      </c>
      <c r="L8" s="7">
        <v>2.0</v>
      </c>
      <c r="M8" s="7">
        <v>2.0</v>
      </c>
      <c r="N8" s="7">
        <v>0.0</v>
      </c>
      <c r="O8" s="14">
        <f t="shared" si="2"/>
        <v>4</v>
      </c>
      <c r="P8" s="13">
        <f t="shared" si="3"/>
        <v>0</v>
      </c>
      <c r="Q8" s="14">
        <f t="shared" si="4"/>
        <v>4</v>
      </c>
      <c r="R8" s="11">
        <f t="shared" si="5"/>
        <v>5</v>
      </c>
      <c r="S8" s="15">
        <f t="shared" si="6"/>
        <v>9</v>
      </c>
    </row>
    <row r="9">
      <c r="A9" s="7">
        <v>8.0</v>
      </c>
      <c r="B9" s="8" t="s">
        <v>31</v>
      </c>
      <c r="C9" s="9" t="s">
        <v>30</v>
      </c>
      <c r="D9" s="10">
        <v>1.0</v>
      </c>
      <c r="E9" s="11">
        <v>4.0</v>
      </c>
      <c r="F9" s="12"/>
      <c r="G9" s="12"/>
      <c r="H9" s="12"/>
      <c r="I9" s="13">
        <f t="shared" si="1"/>
        <v>0</v>
      </c>
      <c r="J9" s="7">
        <v>4.0</v>
      </c>
      <c r="K9" s="7">
        <v>0.0</v>
      </c>
      <c r="L9" s="7">
        <v>2.0</v>
      </c>
      <c r="M9" s="7">
        <v>2.0</v>
      </c>
      <c r="N9" s="7">
        <v>0.0</v>
      </c>
      <c r="O9" s="14">
        <f t="shared" si="2"/>
        <v>8</v>
      </c>
      <c r="P9" s="13">
        <f t="shared" si="3"/>
        <v>0</v>
      </c>
      <c r="Q9" s="14">
        <f t="shared" si="4"/>
        <v>8</v>
      </c>
      <c r="R9" s="11">
        <f t="shared" si="5"/>
        <v>4</v>
      </c>
      <c r="S9" s="15">
        <f t="shared" si="6"/>
        <v>12</v>
      </c>
    </row>
    <row r="10">
      <c r="A10" s="7">
        <v>9.0</v>
      </c>
      <c r="B10" s="8" t="s">
        <v>32</v>
      </c>
      <c r="C10" s="9" t="s">
        <v>33</v>
      </c>
      <c r="D10" s="10">
        <v>1.2</v>
      </c>
      <c r="E10" s="11">
        <v>4.0</v>
      </c>
      <c r="F10" s="12"/>
      <c r="G10" s="12"/>
      <c r="H10" s="12"/>
      <c r="I10" s="13">
        <f t="shared" si="1"/>
        <v>0</v>
      </c>
      <c r="J10" s="7">
        <v>3.0</v>
      </c>
      <c r="K10" s="7">
        <v>0.0</v>
      </c>
      <c r="L10" s="7">
        <v>2.0</v>
      </c>
      <c r="M10" s="7">
        <v>2.0</v>
      </c>
      <c r="N10" s="7">
        <v>0.0</v>
      </c>
      <c r="O10" s="14">
        <f t="shared" si="2"/>
        <v>7</v>
      </c>
      <c r="P10" s="13">
        <f t="shared" si="3"/>
        <v>0</v>
      </c>
      <c r="Q10" s="14">
        <f t="shared" si="4"/>
        <v>7</v>
      </c>
      <c r="R10" s="11">
        <f t="shared" si="5"/>
        <v>4</v>
      </c>
      <c r="S10" s="15">
        <f t="shared" si="6"/>
        <v>11</v>
      </c>
    </row>
    <row r="11">
      <c r="A11" s="7">
        <v>10.0</v>
      </c>
      <c r="B11" s="17" t="s">
        <v>34</v>
      </c>
      <c r="C11" s="9" t="s">
        <v>35</v>
      </c>
      <c r="D11" s="10">
        <v>0.8</v>
      </c>
      <c r="E11" s="11">
        <v>4.0</v>
      </c>
      <c r="F11" s="12"/>
      <c r="G11" s="12"/>
      <c r="H11" s="12"/>
      <c r="I11" s="13">
        <f t="shared" si="1"/>
        <v>0</v>
      </c>
      <c r="J11" s="7">
        <v>0.0</v>
      </c>
      <c r="K11" s="7">
        <v>0.0</v>
      </c>
      <c r="L11" s="7">
        <v>2.0</v>
      </c>
      <c r="M11" s="7">
        <v>0.0</v>
      </c>
      <c r="N11" s="7">
        <v>0.0</v>
      </c>
      <c r="O11" s="14">
        <f t="shared" si="2"/>
        <v>2</v>
      </c>
      <c r="P11" s="13">
        <f t="shared" si="3"/>
        <v>0</v>
      </c>
      <c r="Q11" s="14">
        <f t="shared" si="4"/>
        <v>2</v>
      </c>
      <c r="R11" s="11">
        <f t="shared" si="5"/>
        <v>4</v>
      </c>
      <c r="S11" s="15">
        <f t="shared" si="6"/>
        <v>6</v>
      </c>
    </row>
    <row r="12">
      <c r="A12" s="7">
        <v>11.0</v>
      </c>
      <c r="B12" s="18" t="s">
        <v>36</v>
      </c>
      <c r="C12" s="9" t="s">
        <v>26</v>
      </c>
      <c r="D12" s="10">
        <v>0.9</v>
      </c>
      <c r="E12" s="11">
        <v>4.0</v>
      </c>
      <c r="F12" s="12"/>
      <c r="G12" s="12"/>
      <c r="H12" s="12"/>
      <c r="I12" s="13">
        <f t="shared" si="1"/>
        <v>0</v>
      </c>
      <c r="J12" s="7">
        <v>4.0</v>
      </c>
      <c r="K12" s="7">
        <v>5.0</v>
      </c>
      <c r="L12" s="7">
        <v>0.0</v>
      </c>
      <c r="M12" s="7">
        <v>3.0</v>
      </c>
      <c r="N12" s="7">
        <v>3.0</v>
      </c>
      <c r="O12" s="14">
        <f t="shared" si="2"/>
        <v>15</v>
      </c>
      <c r="P12" s="13">
        <f t="shared" si="3"/>
        <v>0</v>
      </c>
      <c r="Q12" s="14">
        <f t="shared" si="4"/>
        <v>15</v>
      </c>
      <c r="R12" s="11">
        <f t="shared" si="5"/>
        <v>4</v>
      </c>
      <c r="S12" s="15">
        <f t="shared" si="6"/>
        <v>19</v>
      </c>
    </row>
    <row r="13">
      <c r="A13" s="7">
        <v>12.0</v>
      </c>
      <c r="B13" s="16" t="s">
        <v>37</v>
      </c>
      <c r="C13" s="9" t="s">
        <v>26</v>
      </c>
      <c r="D13" s="10">
        <v>0.9</v>
      </c>
      <c r="E13" s="11">
        <v>5.0</v>
      </c>
      <c r="F13" s="12"/>
      <c r="G13" s="12"/>
      <c r="H13" s="12"/>
      <c r="I13" s="13">
        <f t="shared" si="1"/>
        <v>0</v>
      </c>
      <c r="J13" s="7">
        <v>4.0</v>
      </c>
      <c r="K13" s="7">
        <v>0.0</v>
      </c>
      <c r="L13" s="7">
        <v>0.0</v>
      </c>
      <c r="M13" s="7">
        <v>3.0</v>
      </c>
      <c r="N13" s="7">
        <v>0.0</v>
      </c>
      <c r="O13" s="14">
        <f t="shared" si="2"/>
        <v>7</v>
      </c>
      <c r="P13" s="13">
        <f t="shared" si="3"/>
        <v>0</v>
      </c>
      <c r="Q13" s="14">
        <f t="shared" si="4"/>
        <v>7</v>
      </c>
      <c r="R13" s="11">
        <f t="shared" si="5"/>
        <v>5</v>
      </c>
      <c r="S13" s="15">
        <f t="shared" si="6"/>
        <v>12</v>
      </c>
    </row>
    <row r="14">
      <c r="A14" s="7">
        <v>13.0</v>
      </c>
      <c r="B14" s="16" t="s">
        <v>38</v>
      </c>
      <c r="C14" s="9" t="s">
        <v>30</v>
      </c>
      <c r="D14" s="10">
        <v>1.0</v>
      </c>
      <c r="E14" s="11">
        <v>5.0</v>
      </c>
      <c r="F14" s="12"/>
      <c r="G14" s="12"/>
      <c r="H14" s="12"/>
      <c r="I14" s="13">
        <f t="shared" si="1"/>
        <v>0</v>
      </c>
      <c r="J14" s="7">
        <v>0.0</v>
      </c>
      <c r="K14" s="7">
        <v>0.0</v>
      </c>
      <c r="L14" s="7">
        <v>2.0</v>
      </c>
      <c r="M14" s="7">
        <v>2.0</v>
      </c>
      <c r="N14" s="7">
        <v>0.0</v>
      </c>
      <c r="O14" s="14">
        <f t="shared" si="2"/>
        <v>4</v>
      </c>
      <c r="P14" s="13">
        <f t="shared" si="3"/>
        <v>0</v>
      </c>
      <c r="Q14" s="14">
        <f t="shared" si="4"/>
        <v>4</v>
      </c>
      <c r="R14" s="11">
        <f t="shared" si="5"/>
        <v>5</v>
      </c>
      <c r="S14" s="15">
        <f t="shared" si="6"/>
        <v>9</v>
      </c>
    </row>
    <row r="15">
      <c r="A15" s="19">
        <v>14.0</v>
      </c>
      <c r="B15" s="16" t="s">
        <v>39</v>
      </c>
      <c r="C15" s="9" t="s">
        <v>24</v>
      </c>
      <c r="D15" s="20">
        <v>0.3</v>
      </c>
      <c r="E15" s="11">
        <v>-1.0</v>
      </c>
      <c r="F15" s="12"/>
      <c r="G15" s="12"/>
      <c r="H15" s="12"/>
      <c r="I15" s="13">
        <f t="shared" si="1"/>
        <v>0</v>
      </c>
      <c r="J15" s="7">
        <v>0.0</v>
      </c>
      <c r="K15" s="7">
        <v>0.0</v>
      </c>
      <c r="L15" s="7">
        <v>2.0</v>
      </c>
      <c r="M15" s="7">
        <v>2.0</v>
      </c>
      <c r="N15" s="7">
        <v>0.0</v>
      </c>
      <c r="O15" s="14">
        <f t="shared" si="2"/>
        <v>4</v>
      </c>
      <c r="P15" s="13">
        <f t="shared" si="3"/>
        <v>0</v>
      </c>
      <c r="Q15" s="14">
        <f t="shared" si="4"/>
        <v>4</v>
      </c>
      <c r="R15" s="11">
        <f t="shared" si="5"/>
        <v>-1</v>
      </c>
      <c r="S15" s="15">
        <f t="shared" si="6"/>
        <v>3</v>
      </c>
    </row>
    <row r="16">
      <c r="A16" s="19">
        <v>15.0</v>
      </c>
      <c r="B16" s="21" t="s">
        <v>40</v>
      </c>
      <c r="C16" s="9" t="s">
        <v>28</v>
      </c>
      <c r="D16" s="20">
        <v>0.7</v>
      </c>
      <c r="E16" s="11">
        <v>5.0</v>
      </c>
      <c r="F16" s="12"/>
      <c r="G16" s="12"/>
      <c r="H16" s="12"/>
      <c r="I16" s="13">
        <f t="shared" si="1"/>
        <v>0</v>
      </c>
      <c r="J16" s="7">
        <v>0.0</v>
      </c>
      <c r="K16" s="7">
        <v>0.0</v>
      </c>
      <c r="L16" s="7">
        <v>2.0</v>
      </c>
      <c r="M16" s="7">
        <v>2.0</v>
      </c>
      <c r="N16" s="7">
        <v>0.0</v>
      </c>
      <c r="O16" s="14">
        <f t="shared" si="2"/>
        <v>4</v>
      </c>
      <c r="P16" s="13">
        <f t="shared" si="3"/>
        <v>0</v>
      </c>
      <c r="Q16" s="14">
        <f t="shared" si="4"/>
        <v>4</v>
      </c>
      <c r="R16" s="11">
        <f t="shared" si="5"/>
        <v>5</v>
      </c>
      <c r="S16" s="15">
        <f t="shared" si="6"/>
        <v>9</v>
      </c>
    </row>
    <row r="17">
      <c r="A17" s="19">
        <v>16.0</v>
      </c>
      <c r="B17" s="16" t="s">
        <v>41</v>
      </c>
      <c r="C17" s="9" t="s">
        <v>35</v>
      </c>
      <c r="D17" s="20">
        <v>0.8</v>
      </c>
      <c r="E17" s="11">
        <v>5.0</v>
      </c>
      <c r="F17" s="12"/>
      <c r="G17" s="12"/>
      <c r="H17" s="12"/>
      <c r="I17" s="13">
        <f t="shared" si="1"/>
        <v>0</v>
      </c>
      <c r="J17" s="7">
        <v>0.0</v>
      </c>
      <c r="K17" s="7">
        <v>0.0</v>
      </c>
      <c r="L17" s="7">
        <v>2.0</v>
      </c>
      <c r="M17" s="7">
        <v>2.0</v>
      </c>
      <c r="N17" s="7">
        <v>0.0</v>
      </c>
      <c r="O17" s="14">
        <f t="shared" si="2"/>
        <v>4</v>
      </c>
      <c r="P17" s="13">
        <f t="shared" si="3"/>
        <v>0</v>
      </c>
      <c r="Q17" s="14">
        <f t="shared" si="4"/>
        <v>4</v>
      </c>
      <c r="R17" s="11">
        <f t="shared" si="5"/>
        <v>5</v>
      </c>
      <c r="S17" s="15">
        <f t="shared" si="6"/>
        <v>9</v>
      </c>
    </row>
    <row r="18">
      <c r="A18" s="19">
        <v>17.0</v>
      </c>
      <c r="B18" s="8" t="s">
        <v>42</v>
      </c>
      <c r="C18" s="22" t="s">
        <v>43</v>
      </c>
      <c r="D18" s="20">
        <v>0.1</v>
      </c>
      <c r="E18" s="11">
        <v>5.0</v>
      </c>
      <c r="F18" s="12"/>
      <c r="G18" s="12"/>
      <c r="H18" s="12"/>
      <c r="I18" s="13">
        <f t="shared" si="1"/>
        <v>0</v>
      </c>
      <c r="J18" s="7">
        <v>6.0</v>
      </c>
      <c r="K18" s="7">
        <v>0.0</v>
      </c>
      <c r="L18" s="7">
        <v>0.0</v>
      </c>
      <c r="M18" s="7">
        <v>0.0</v>
      </c>
      <c r="N18" s="7">
        <v>0.0</v>
      </c>
      <c r="O18" s="14">
        <f t="shared" si="2"/>
        <v>6</v>
      </c>
      <c r="P18" s="13">
        <f t="shared" si="3"/>
        <v>0</v>
      </c>
      <c r="Q18" s="14">
        <f t="shared" si="4"/>
        <v>6</v>
      </c>
      <c r="R18" s="11">
        <f t="shared" si="5"/>
        <v>5</v>
      </c>
      <c r="S18" s="15">
        <f t="shared" si="6"/>
        <v>11</v>
      </c>
    </row>
    <row r="19">
      <c r="A19" s="19">
        <v>18.0</v>
      </c>
      <c r="B19" s="8" t="s">
        <v>44</v>
      </c>
      <c r="C19" s="22" t="s">
        <v>45</v>
      </c>
      <c r="D19" s="20">
        <v>0.1</v>
      </c>
      <c r="E19" s="11">
        <v>-3.0</v>
      </c>
      <c r="F19" s="12"/>
      <c r="G19" s="12"/>
      <c r="H19" s="12"/>
      <c r="I19" s="13">
        <f t="shared" si="1"/>
        <v>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14">
        <f t="shared" si="2"/>
        <v>0</v>
      </c>
      <c r="P19" s="13">
        <f t="shared" si="3"/>
        <v>0</v>
      </c>
      <c r="Q19" s="14">
        <f t="shared" si="4"/>
        <v>0</v>
      </c>
      <c r="R19" s="11">
        <f t="shared" si="5"/>
        <v>-3</v>
      </c>
      <c r="S19" s="15">
        <f t="shared" si="6"/>
        <v>-3</v>
      </c>
    </row>
    <row r="20">
      <c r="A20" s="19">
        <v>19.0</v>
      </c>
      <c r="B20" s="16" t="s">
        <v>46</v>
      </c>
      <c r="C20" s="9" t="s">
        <v>35</v>
      </c>
      <c r="D20" s="20">
        <v>0.8</v>
      </c>
      <c r="E20" s="11">
        <v>5.0</v>
      </c>
      <c r="F20" s="12"/>
      <c r="G20" s="12"/>
      <c r="H20" s="12"/>
      <c r="I20" s="13">
        <f t="shared" si="1"/>
        <v>0</v>
      </c>
      <c r="J20" s="7">
        <v>0.0</v>
      </c>
      <c r="K20" s="7">
        <v>0.0</v>
      </c>
      <c r="L20" s="7">
        <v>2.0</v>
      </c>
      <c r="M20" s="7">
        <v>2.0</v>
      </c>
      <c r="N20" s="7">
        <v>0.0</v>
      </c>
      <c r="O20" s="14">
        <f t="shared" si="2"/>
        <v>4</v>
      </c>
      <c r="P20" s="13">
        <f t="shared" si="3"/>
        <v>0</v>
      </c>
      <c r="Q20" s="14">
        <f t="shared" si="4"/>
        <v>4</v>
      </c>
      <c r="R20" s="11">
        <f t="shared" si="5"/>
        <v>5</v>
      </c>
      <c r="S20" s="15">
        <f t="shared" si="6"/>
        <v>9</v>
      </c>
    </row>
    <row r="21">
      <c r="A21" s="19">
        <v>20.0</v>
      </c>
      <c r="B21" s="18" t="s">
        <v>47</v>
      </c>
      <c r="C21" s="22" t="s">
        <v>48</v>
      </c>
      <c r="D21" s="20">
        <v>0.3</v>
      </c>
      <c r="E21" s="11">
        <v>4.0</v>
      </c>
      <c r="F21" s="12"/>
      <c r="G21" s="12"/>
      <c r="H21" s="12"/>
      <c r="I21" s="13">
        <f t="shared" si="1"/>
        <v>0</v>
      </c>
      <c r="J21" s="7">
        <v>0.0</v>
      </c>
      <c r="K21" s="7">
        <v>0.0</v>
      </c>
      <c r="L21" s="7">
        <v>2.0</v>
      </c>
      <c r="M21" s="7">
        <v>2.0</v>
      </c>
      <c r="N21" s="7">
        <v>0.0</v>
      </c>
      <c r="O21" s="14">
        <f t="shared" si="2"/>
        <v>4</v>
      </c>
      <c r="P21" s="13">
        <f t="shared" si="3"/>
        <v>0</v>
      </c>
      <c r="Q21" s="14">
        <f t="shared" si="4"/>
        <v>4</v>
      </c>
      <c r="R21" s="11">
        <f t="shared" si="5"/>
        <v>4</v>
      </c>
      <c r="S21" s="15">
        <f t="shared" si="6"/>
        <v>8</v>
      </c>
    </row>
    <row r="22">
      <c r="A22" s="19">
        <v>21.0</v>
      </c>
      <c r="B22" s="8" t="s">
        <v>49</v>
      </c>
      <c r="C22" s="22" t="s">
        <v>48</v>
      </c>
      <c r="D22" s="20">
        <v>0.3</v>
      </c>
      <c r="E22" s="11">
        <v>3.0</v>
      </c>
      <c r="F22" s="12"/>
      <c r="G22" s="12"/>
      <c r="H22" s="12"/>
      <c r="I22" s="13">
        <f t="shared" si="1"/>
        <v>0</v>
      </c>
      <c r="J22" s="7">
        <v>0.0</v>
      </c>
      <c r="K22" s="7">
        <v>0.0</v>
      </c>
      <c r="L22" s="7">
        <v>2.0</v>
      </c>
      <c r="M22" s="7">
        <v>2.0</v>
      </c>
      <c r="N22" s="7">
        <v>0.0</v>
      </c>
      <c r="O22" s="14">
        <f t="shared" si="2"/>
        <v>4</v>
      </c>
      <c r="P22" s="13">
        <f t="shared" si="3"/>
        <v>0</v>
      </c>
      <c r="Q22" s="14">
        <f t="shared" si="4"/>
        <v>4</v>
      </c>
      <c r="R22" s="11">
        <f t="shared" si="5"/>
        <v>3</v>
      </c>
      <c r="S22" s="15">
        <f t="shared" si="6"/>
        <v>7</v>
      </c>
    </row>
    <row r="23">
      <c r="A23" s="19">
        <v>22.0</v>
      </c>
      <c r="B23" s="8" t="s">
        <v>50</v>
      </c>
      <c r="C23" s="9" t="s">
        <v>26</v>
      </c>
      <c r="D23" s="20">
        <v>0.9</v>
      </c>
      <c r="E23" s="11">
        <v>2.0</v>
      </c>
      <c r="F23" s="12"/>
      <c r="G23" s="12"/>
      <c r="H23" s="12"/>
      <c r="I23" s="13">
        <f t="shared" si="1"/>
        <v>0</v>
      </c>
      <c r="J23" s="7">
        <v>0.0</v>
      </c>
      <c r="K23" s="7">
        <v>0.0</v>
      </c>
      <c r="L23" s="7">
        <v>2.0</v>
      </c>
      <c r="M23" s="7">
        <v>3.0</v>
      </c>
      <c r="N23" s="7">
        <v>0.0</v>
      </c>
      <c r="O23" s="14">
        <f t="shared" si="2"/>
        <v>5</v>
      </c>
      <c r="P23" s="13">
        <f t="shared" si="3"/>
        <v>0</v>
      </c>
      <c r="Q23" s="14">
        <f t="shared" si="4"/>
        <v>5</v>
      </c>
      <c r="R23" s="11">
        <f t="shared" si="5"/>
        <v>2</v>
      </c>
      <c r="S23" s="15">
        <f t="shared" si="6"/>
        <v>7</v>
      </c>
    </row>
    <row r="24">
      <c r="A24" s="19">
        <v>23.0</v>
      </c>
      <c r="B24" s="16" t="s">
        <v>51</v>
      </c>
      <c r="C24" s="9" t="s">
        <v>30</v>
      </c>
      <c r="D24" s="20">
        <v>1.0</v>
      </c>
      <c r="E24" s="11">
        <v>4.0</v>
      </c>
      <c r="F24" s="12"/>
      <c r="G24" s="12"/>
      <c r="H24" s="12"/>
      <c r="I24" s="13">
        <f t="shared" si="1"/>
        <v>0</v>
      </c>
      <c r="J24" s="7">
        <v>0.0</v>
      </c>
      <c r="K24" s="7">
        <v>0.0</v>
      </c>
      <c r="L24" s="7">
        <v>2.0</v>
      </c>
      <c r="M24" s="7">
        <v>2.0</v>
      </c>
      <c r="N24" s="7">
        <v>0.0</v>
      </c>
      <c r="O24" s="14">
        <f t="shared" si="2"/>
        <v>4</v>
      </c>
      <c r="P24" s="13">
        <f t="shared" si="3"/>
        <v>0</v>
      </c>
      <c r="Q24" s="14">
        <f t="shared" si="4"/>
        <v>4</v>
      </c>
      <c r="R24" s="11">
        <f t="shared" si="5"/>
        <v>4</v>
      </c>
      <c r="S24" s="15">
        <f t="shared" si="6"/>
        <v>8</v>
      </c>
    </row>
    <row r="25">
      <c r="A25" s="19">
        <v>24.0</v>
      </c>
      <c r="B25" s="16" t="s">
        <v>52</v>
      </c>
      <c r="C25" s="9" t="s">
        <v>20</v>
      </c>
      <c r="D25" s="20">
        <v>0.9</v>
      </c>
      <c r="E25" s="11">
        <v>5.0</v>
      </c>
      <c r="F25" s="12"/>
      <c r="G25" s="12"/>
      <c r="H25" s="12"/>
      <c r="I25" s="13">
        <f t="shared" si="1"/>
        <v>0</v>
      </c>
      <c r="J25" s="7">
        <v>0.0</v>
      </c>
      <c r="K25" s="7">
        <v>0.0</v>
      </c>
      <c r="L25" s="7">
        <v>0.0</v>
      </c>
      <c r="M25" s="7">
        <v>3.0</v>
      </c>
      <c r="N25" s="7">
        <v>0.0</v>
      </c>
      <c r="O25" s="14">
        <f t="shared" si="2"/>
        <v>3</v>
      </c>
      <c r="P25" s="13">
        <f t="shared" si="3"/>
        <v>0</v>
      </c>
      <c r="Q25" s="14">
        <f t="shared" si="4"/>
        <v>3</v>
      </c>
      <c r="R25" s="11">
        <f t="shared" si="5"/>
        <v>5</v>
      </c>
      <c r="S25" s="15">
        <f t="shared" si="6"/>
        <v>8</v>
      </c>
    </row>
    <row r="26">
      <c r="A26" s="19">
        <v>26.0</v>
      </c>
      <c r="B26" s="8" t="s">
        <v>53</v>
      </c>
      <c r="C26" s="9" t="s">
        <v>33</v>
      </c>
      <c r="D26" s="20">
        <v>1.2</v>
      </c>
      <c r="E26" s="11">
        <v>4.0</v>
      </c>
      <c r="F26" s="12"/>
      <c r="G26" s="12"/>
      <c r="H26" s="12"/>
      <c r="I26" s="13">
        <f t="shared" si="1"/>
        <v>0</v>
      </c>
      <c r="J26" s="7">
        <v>1.0</v>
      </c>
      <c r="K26" s="7">
        <v>0.0</v>
      </c>
      <c r="L26" s="7">
        <v>2.0</v>
      </c>
      <c r="M26" s="7">
        <v>2.0</v>
      </c>
      <c r="N26" s="7">
        <v>0.0</v>
      </c>
      <c r="O26" s="14">
        <f t="shared" si="2"/>
        <v>5</v>
      </c>
      <c r="P26" s="13">
        <f t="shared" si="3"/>
        <v>0</v>
      </c>
      <c r="Q26" s="14">
        <f t="shared" si="4"/>
        <v>5</v>
      </c>
      <c r="R26" s="11">
        <f t="shared" si="5"/>
        <v>4</v>
      </c>
      <c r="S26" s="15">
        <f t="shared" si="6"/>
        <v>9</v>
      </c>
    </row>
    <row r="27">
      <c r="A27" s="19">
        <v>27.0</v>
      </c>
      <c r="B27" s="16" t="s">
        <v>54</v>
      </c>
      <c r="C27" s="9" t="s">
        <v>28</v>
      </c>
      <c r="D27" s="20">
        <v>0.7</v>
      </c>
      <c r="E27" s="11">
        <v>4.0</v>
      </c>
      <c r="F27" s="12"/>
      <c r="G27" s="12"/>
      <c r="H27" s="12"/>
      <c r="I27" s="13">
        <f t="shared" si="1"/>
        <v>0</v>
      </c>
      <c r="J27" s="7">
        <v>3.0</v>
      </c>
      <c r="K27" s="7">
        <v>0.0</v>
      </c>
      <c r="L27" s="7">
        <v>2.0</v>
      </c>
      <c r="M27" s="7">
        <v>2.0</v>
      </c>
      <c r="N27" s="7">
        <v>0.0</v>
      </c>
      <c r="O27" s="14">
        <f t="shared" si="2"/>
        <v>7</v>
      </c>
      <c r="P27" s="13">
        <f t="shared" si="3"/>
        <v>0</v>
      </c>
      <c r="Q27" s="14">
        <f t="shared" si="4"/>
        <v>7</v>
      </c>
      <c r="R27" s="11">
        <f t="shared" si="5"/>
        <v>4</v>
      </c>
      <c r="S27" s="15">
        <f t="shared" si="6"/>
        <v>11</v>
      </c>
    </row>
    <row r="28">
      <c r="A28" s="19">
        <v>28.0</v>
      </c>
      <c r="B28" s="8" t="s">
        <v>55</v>
      </c>
      <c r="C28" s="22" t="s">
        <v>56</v>
      </c>
      <c r="D28" s="20">
        <v>1.2</v>
      </c>
      <c r="E28" s="11">
        <v>4.0</v>
      </c>
      <c r="F28" s="12"/>
      <c r="G28" s="12"/>
      <c r="H28" s="12"/>
      <c r="I28" s="13">
        <f t="shared" si="1"/>
        <v>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14">
        <f t="shared" si="2"/>
        <v>0</v>
      </c>
      <c r="P28" s="13">
        <f t="shared" si="3"/>
        <v>0</v>
      </c>
      <c r="Q28" s="14">
        <f t="shared" si="4"/>
        <v>0</v>
      </c>
      <c r="R28" s="11">
        <f t="shared" si="5"/>
        <v>4</v>
      </c>
      <c r="S28" s="15">
        <f t="shared" si="6"/>
        <v>4</v>
      </c>
    </row>
    <row r="29">
      <c r="A29" s="19">
        <v>29.0</v>
      </c>
      <c r="B29" s="8" t="s">
        <v>57</v>
      </c>
      <c r="C29" s="9" t="s">
        <v>30</v>
      </c>
      <c r="D29" s="20">
        <v>1.0</v>
      </c>
      <c r="E29" s="11">
        <v>4.0</v>
      </c>
      <c r="F29" s="12"/>
      <c r="G29" s="12"/>
      <c r="H29" s="12"/>
      <c r="I29" s="13">
        <f t="shared" si="1"/>
        <v>0</v>
      </c>
      <c r="J29" s="7">
        <v>6.0</v>
      </c>
      <c r="K29" s="7">
        <v>0.0</v>
      </c>
      <c r="L29" s="7">
        <v>2.0</v>
      </c>
      <c r="M29" s="7">
        <v>2.0</v>
      </c>
      <c r="N29" s="7">
        <v>0.0</v>
      </c>
      <c r="O29" s="14">
        <f t="shared" si="2"/>
        <v>10</v>
      </c>
      <c r="P29" s="13">
        <f t="shared" si="3"/>
        <v>0</v>
      </c>
      <c r="Q29" s="14">
        <f t="shared" si="4"/>
        <v>10</v>
      </c>
      <c r="R29" s="11">
        <f t="shared" si="5"/>
        <v>4</v>
      </c>
      <c r="S29" s="15">
        <f t="shared" si="6"/>
        <v>14</v>
      </c>
    </row>
    <row r="30">
      <c r="A30" s="19">
        <v>30.0</v>
      </c>
      <c r="B30" s="8" t="s">
        <v>58</v>
      </c>
      <c r="C30" s="9" t="s">
        <v>59</v>
      </c>
      <c r="D30" s="20">
        <v>0.1</v>
      </c>
      <c r="E30" s="11">
        <v>1.0</v>
      </c>
      <c r="F30" s="12"/>
      <c r="G30" s="12"/>
      <c r="H30" s="12"/>
      <c r="I30" s="13">
        <f t="shared" si="1"/>
        <v>0</v>
      </c>
      <c r="J30" s="7">
        <v>0.0</v>
      </c>
      <c r="K30" s="7">
        <v>0.0</v>
      </c>
      <c r="L30" s="7">
        <v>2.0</v>
      </c>
      <c r="M30" s="7">
        <v>2.0</v>
      </c>
      <c r="N30" s="7">
        <v>0.0</v>
      </c>
      <c r="O30" s="14">
        <f t="shared" si="2"/>
        <v>4</v>
      </c>
      <c r="P30" s="13">
        <f t="shared" si="3"/>
        <v>0</v>
      </c>
      <c r="Q30" s="14">
        <f t="shared" si="4"/>
        <v>4</v>
      </c>
      <c r="R30" s="11">
        <f t="shared" si="5"/>
        <v>1</v>
      </c>
      <c r="S30" s="15">
        <f t="shared" si="6"/>
        <v>5</v>
      </c>
    </row>
    <row r="31">
      <c r="A31" s="19">
        <v>31.0</v>
      </c>
      <c r="B31" s="8" t="s">
        <v>60</v>
      </c>
      <c r="C31" s="9" t="s">
        <v>30</v>
      </c>
      <c r="D31" s="20">
        <v>1.0</v>
      </c>
      <c r="E31" s="11">
        <v>5.0</v>
      </c>
      <c r="F31" s="12"/>
      <c r="G31" s="12"/>
      <c r="H31" s="12"/>
      <c r="I31" s="13">
        <f t="shared" si="1"/>
        <v>0</v>
      </c>
      <c r="J31" s="7">
        <v>0.0</v>
      </c>
      <c r="K31" s="7">
        <v>3.0</v>
      </c>
      <c r="L31" s="7">
        <v>2.0</v>
      </c>
      <c r="M31" s="7">
        <v>2.0</v>
      </c>
      <c r="N31" s="7">
        <v>0.0</v>
      </c>
      <c r="O31" s="14">
        <f t="shared" si="2"/>
        <v>7</v>
      </c>
      <c r="P31" s="13">
        <f t="shared" si="3"/>
        <v>0</v>
      </c>
      <c r="Q31" s="14">
        <f t="shared" si="4"/>
        <v>7</v>
      </c>
      <c r="R31" s="11">
        <f t="shared" si="5"/>
        <v>5</v>
      </c>
      <c r="S31" s="15">
        <f t="shared" si="6"/>
        <v>12</v>
      </c>
    </row>
    <row r="32">
      <c r="A32" s="19">
        <v>32.0</v>
      </c>
      <c r="B32" s="8" t="s">
        <v>61</v>
      </c>
      <c r="C32" s="22" t="s">
        <v>43</v>
      </c>
      <c r="D32" s="20">
        <v>0.1</v>
      </c>
      <c r="E32" s="11">
        <v>5.0</v>
      </c>
      <c r="F32" s="12"/>
      <c r="G32" s="12"/>
      <c r="H32" s="12"/>
      <c r="I32" s="13">
        <f t="shared" si="1"/>
        <v>0</v>
      </c>
      <c r="J32" s="7">
        <v>0.0</v>
      </c>
      <c r="K32" s="7">
        <v>0.0</v>
      </c>
      <c r="L32" s="7">
        <v>3.0</v>
      </c>
      <c r="M32" s="7">
        <v>3.0</v>
      </c>
      <c r="N32" s="7">
        <v>0.0</v>
      </c>
      <c r="O32" s="14">
        <f t="shared" si="2"/>
        <v>6</v>
      </c>
      <c r="P32" s="13">
        <f t="shared" si="3"/>
        <v>0</v>
      </c>
      <c r="Q32" s="14">
        <f t="shared" si="4"/>
        <v>6</v>
      </c>
      <c r="R32" s="11">
        <f t="shared" si="5"/>
        <v>5</v>
      </c>
      <c r="S32" s="15">
        <f t="shared" si="6"/>
        <v>11</v>
      </c>
    </row>
    <row r="33">
      <c r="A33" s="19">
        <v>33.0</v>
      </c>
      <c r="B33" s="8" t="s">
        <v>62</v>
      </c>
      <c r="C33" s="9" t="s">
        <v>26</v>
      </c>
      <c r="D33" s="20">
        <v>0.9</v>
      </c>
      <c r="E33" s="11">
        <v>4.0</v>
      </c>
      <c r="F33" s="12"/>
      <c r="G33" s="12"/>
      <c r="H33" s="12"/>
      <c r="I33" s="13">
        <f t="shared" si="1"/>
        <v>0</v>
      </c>
      <c r="J33" s="7">
        <v>0.0</v>
      </c>
      <c r="K33" s="7">
        <v>0.0</v>
      </c>
      <c r="L33" s="7">
        <v>2.0</v>
      </c>
      <c r="M33" s="7">
        <v>3.0</v>
      </c>
      <c r="N33" s="7">
        <v>0.0</v>
      </c>
      <c r="O33" s="14">
        <f t="shared" si="2"/>
        <v>5</v>
      </c>
      <c r="P33" s="13">
        <f t="shared" si="3"/>
        <v>0</v>
      </c>
      <c r="Q33" s="14">
        <f t="shared" si="4"/>
        <v>5</v>
      </c>
      <c r="R33" s="11">
        <f t="shared" si="5"/>
        <v>4</v>
      </c>
      <c r="S33" s="15">
        <f t="shared" si="6"/>
        <v>9</v>
      </c>
    </row>
    <row r="34">
      <c r="A34" s="19">
        <v>34.0</v>
      </c>
      <c r="B34" s="8" t="s">
        <v>63</v>
      </c>
      <c r="C34" s="9" t="s">
        <v>30</v>
      </c>
      <c r="D34" s="20">
        <v>1.0</v>
      </c>
      <c r="E34" s="11">
        <v>0.0</v>
      </c>
      <c r="F34" s="12"/>
      <c r="G34" s="12"/>
      <c r="H34" s="12"/>
      <c r="I34" s="13">
        <f t="shared" si="1"/>
        <v>0</v>
      </c>
      <c r="J34" s="7">
        <v>0.0</v>
      </c>
      <c r="K34" s="7">
        <v>0.0</v>
      </c>
      <c r="L34" s="7">
        <v>3.0</v>
      </c>
      <c r="M34" s="7">
        <v>3.0</v>
      </c>
      <c r="N34" s="7">
        <v>0.0</v>
      </c>
      <c r="O34" s="14">
        <f t="shared" si="2"/>
        <v>6</v>
      </c>
      <c r="P34" s="13">
        <f t="shared" si="3"/>
        <v>0</v>
      </c>
      <c r="Q34" s="14">
        <f t="shared" si="4"/>
        <v>6</v>
      </c>
      <c r="R34" s="11">
        <f t="shared" si="5"/>
        <v>0</v>
      </c>
      <c r="S34" s="15">
        <f t="shared" si="6"/>
        <v>6</v>
      </c>
    </row>
    <row r="35">
      <c r="A35" s="19">
        <v>35.0</v>
      </c>
      <c r="B35" s="8" t="s">
        <v>64</v>
      </c>
      <c r="C35" s="22" t="s">
        <v>65</v>
      </c>
      <c r="D35" s="20">
        <v>0.1</v>
      </c>
      <c r="E35" s="11">
        <v>0.0</v>
      </c>
      <c r="F35" s="12"/>
      <c r="G35" s="12"/>
      <c r="H35" s="12"/>
      <c r="I35" s="13">
        <f t="shared" si="1"/>
        <v>0</v>
      </c>
      <c r="J35" s="7">
        <v>0.0</v>
      </c>
      <c r="K35" s="7">
        <v>0.0</v>
      </c>
      <c r="L35" s="7">
        <v>2.0</v>
      </c>
      <c r="M35" s="7">
        <v>2.0</v>
      </c>
      <c r="N35" s="7">
        <v>0.0</v>
      </c>
      <c r="O35" s="14">
        <f t="shared" si="2"/>
        <v>4</v>
      </c>
      <c r="P35" s="13">
        <f t="shared" si="3"/>
        <v>0</v>
      </c>
      <c r="Q35" s="14">
        <f t="shared" si="4"/>
        <v>4</v>
      </c>
      <c r="R35" s="11">
        <f t="shared" si="5"/>
        <v>0</v>
      </c>
      <c r="S35" s="15">
        <f t="shared" si="6"/>
        <v>4</v>
      </c>
    </row>
    <row r="36">
      <c r="A36" s="19">
        <v>36.0</v>
      </c>
      <c r="B36" s="8" t="s">
        <v>66</v>
      </c>
      <c r="C36" s="22" t="s">
        <v>67</v>
      </c>
      <c r="D36" s="20">
        <v>0.1</v>
      </c>
      <c r="E36" s="11">
        <v>5.0</v>
      </c>
      <c r="F36" s="12"/>
      <c r="G36" s="12"/>
      <c r="H36" s="12"/>
      <c r="I36" s="13">
        <f t="shared" si="1"/>
        <v>0</v>
      </c>
      <c r="J36" s="7">
        <v>0.0</v>
      </c>
      <c r="K36" s="7">
        <v>0.0</v>
      </c>
      <c r="L36" s="7">
        <v>1.0</v>
      </c>
      <c r="M36" s="7">
        <v>1.0</v>
      </c>
      <c r="N36" s="7">
        <v>0.0</v>
      </c>
      <c r="O36" s="14">
        <f t="shared" si="2"/>
        <v>2</v>
      </c>
      <c r="P36" s="13">
        <f t="shared" si="3"/>
        <v>0</v>
      </c>
      <c r="Q36" s="14">
        <f t="shared" si="4"/>
        <v>2</v>
      </c>
      <c r="R36" s="11">
        <f t="shared" si="5"/>
        <v>5</v>
      </c>
      <c r="S36" s="15">
        <f t="shared" si="6"/>
        <v>7</v>
      </c>
    </row>
    <row r="37">
      <c r="A37" s="19">
        <v>37.0</v>
      </c>
      <c r="B37" s="8" t="s">
        <v>68</v>
      </c>
      <c r="C37" s="22" t="s">
        <v>69</v>
      </c>
      <c r="D37" s="20">
        <v>0.7</v>
      </c>
      <c r="E37" s="11">
        <v>5.0</v>
      </c>
      <c r="F37" s="12"/>
      <c r="G37" s="12"/>
      <c r="H37" s="12"/>
      <c r="I37" s="13">
        <f t="shared" si="1"/>
        <v>0</v>
      </c>
      <c r="J37" s="7">
        <v>2.0</v>
      </c>
      <c r="K37" s="7">
        <v>0.0</v>
      </c>
      <c r="L37" s="7">
        <v>2.0</v>
      </c>
      <c r="M37" s="7">
        <v>2.0</v>
      </c>
      <c r="N37" s="7">
        <v>0.0</v>
      </c>
      <c r="O37" s="14">
        <f t="shared" si="2"/>
        <v>6</v>
      </c>
      <c r="P37" s="13">
        <f t="shared" si="3"/>
        <v>0</v>
      </c>
      <c r="Q37" s="14">
        <f t="shared" si="4"/>
        <v>6</v>
      </c>
      <c r="R37" s="11">
        <f t="shared" si="5"/>
        <v>5</v>
      </c>
      <c r="S37" s="15">
        <f t="shared" si="6"/>
        <v>11</v>
      </c>
    </row>
    <row r="38">
      <c r="A38" s="19">
        <v>38.0</v>
      </c>
      <c r="B38" s="8" t="s">
        <v>70</v>
      </c>
      <c r="C38" s="22" t="s">
        <v>56</v>
      </c>
      <c r="D38" s="20">
        <v>1.2</v>
      </c>
      <c r="E38" s="11">
        <v>5.0</v>
      </c>
      <c r="F38" s="12"/>
      <c r="G38" s="12"/>
      <c r="H38" s="12"/>
      <c r="I38" s="13">
        <f t="shared" si="1"/>
        <v>0</v>
      </c>
      <c r="J38" s="7">
        <v>0.0</v>
      </c>
      <c r="K38" s="7">
        <v>0.0</v>
      </c>
      <c r="L38" s="7">
        <v>2.0</v>
      </c>
      <c r="M38" s="7">
        <v>2.0</v>
      </c>
      <c r="N38" s="7">
        <v>0.0</v>
      </c>
      <c r="O38" s="14">
        <f t="shared" si="2"/>
        <v>4</v>
      </c>
      <c r="P38" s="13">
        <f t="shared" si="3"/>
        <v>0</v>
      </c>
      <c r="Q38" s="14">
        <f t="shared" si="4"/>
        <v>4</v>
      </c>
      <c r="R38" s="11">
        <f t="shared" si="5"/>
        <v>5</v>
      </c>
      <c r="S38" s="15">
        <f t="shared" si="6"/>
        <v>9</v>
      </c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4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4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4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4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4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4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4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4"/>
    </row>
  </sheetData>
  <drawing r:id="rId2"/>
  <legacyDrawing r:id="rId3"/>
</worksheet>
</file>